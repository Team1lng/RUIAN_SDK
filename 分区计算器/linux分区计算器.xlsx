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<sst xmlns="http://schemas.openxmlformats.org/spreadsheetml/2006/main" count="36" uniqueCount="29">
  <si>
    <t>说明</t>
  </si>
  <si>
    <t>分区名</t>
  </si>
  <si>
    <t>size（kb）</t>
  </si>
  <si>
    <t>64K对齐</t>
  </si>
  <si>
    <t>分区大小</t>
  </si>
  <si>
    <t>起始地址</t>
  </si>
  <si>
    <t>起始地址16进制</t>
  </si>
  <si>
    <t>分区16进制</t>
  </si>
  <si>
    <t>实际文件大小（KB）</t>
  </si>
  <si>
    <t>实际文件64K对齐</t>
  </si>
  <si>
    <t>预留大小（KB）</t>
  </si>
  <si>
    <t>确定</t>
  </si>
  <si>
    <t>u-boot</t>
  </si>
  <si>
    <t>env</t>
  </si>
  <si>
    <t>envbk</t>
  </si>
  <si>
    <t>dtb</t>
  </si>
  <si>
    <t>kernel</t>
  </si>
  <si>
    <t>100kb（jpg）</t>
  </si>
  <si>
    <t>logo</t>
  </si>
  <si>
    <t>rootfs</t>
  </si>
  <si>
    <t>config</t>
  </si>
  <si>
    <t>usr</t>
  </si>
  <si>
    <t>分区+1mb</t>
  </si>
  <si>
    <t>app</t>
  </si>
  <si>
    <t>64kb</t>
  </si>
  <si>
    <t>tuya</t>
  </si>
  <si>
    <t>剩余容量</t>
  </si>
  <si>
    <t>data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</si>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</sst>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1" borderId="4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16" fillId="15" borderId="3" applyNumberFormat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4" borderId="1" xfId="0" applyFill="1" applyBorder="1" applyAlignment="1" applyProtection="1">
      <alignment horizontal="left" vertical="center"/>
      <protection hidden="1"/>
    </xf>
    <xf numFmtId="0" fontId="0" fillId="4" borderId="1" xfId="0" applyFill="1" applyBorder="1" applyAlignment="1" applyProtection="1">
      <alignment horizontal="left"/>
      <protection hidden="1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left"/>
      <protection hidden="1"/>
    </xf>
    <xf numFmtId="0" fontId="0" fillId="0" borderId="0" xfId="0" applyProtection="1">
      <protection locked="0"/>
    </xf>
    <xf numFmtId="0" fontId="0" fillId="5" borderId="0" xfId="0" applyFill="1" applyProtection="1">
      <protection hidden="1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5" borderId="0" xfId="0" applyFill="1" applyProtection="1"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="130" zoomScaleNormal="130" workbookViewId="0">
      <selection activeCell="G20" sqref="G20"/>
    </sheetView>
  </sheetViews>
  <sheetFormatPr defaultColWidth="9" defaultRowHeight="14.25"/>
  <cols>
    <col min="1" max="1" width="13.125" style="1" customWidth="1"/>
    <col min="2" max="2" width="7.5" customWidth="1"/>
    <col min="3" max="3" width="12.75" customWidth="1"/>
    <col min="4" max="6" width="9.5" customWidth="1"/>
    <col min="7" max="7" width="15.25" customWidth="1"/>
    <col min="8" max="8" width="11.125" customWidth="1"/>
    <col min="9" max="9" width="19.375" customWidth="1"/>
    <col min="10" max="10" width="16.375" customWidth="1"/>
    <col min="11" max="11" width="15.25" customWidth="1"/>
    <col min="12" max="12" width="15.5" customWidth="1"/>
    <col min="13" max="13" width="20.5" customWidth="1"/>
    <col min="14" max="14" width="18.75" customWidth="1"/>
    <col min="15" max="15" width="20.375" customWidth="1"/>
  </cols>
  <sheetData>
    <row r="1" spans="1:11">
      <c r="A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</row>
    <row r="2" spans="1:11">
      <c r="A2" t="s">
        <v>11</v>
      </c>
      <c r="B2" s="4" t="s">
        <v>12</v>
      </c>
      <c r="C2" s="5">
        <v>220</v>
      </c>
      <c r="D2" s="6">
        <f>C2/64</f>
        <v>3.4375</v>
      </c>
      <c r="E2" s="7">
        <f t="shared" ref="E2:E14" si="0">C2*1024</f>
        <v>225280</v>
      </c>
      <c r="F2" s="6">
        <v>0</v>
      </c>
      <c r="G2" s="6" t="str">
        <f>DEC2HEX(F2)</f>
        <v>0</v>
      </c>
      <c r="H2" s="6" t="str">
        <f>DEC2HEX(E2)</f>
        <v>37000</v>
      </c>
      <c r="I2" s="5">
        <v>209</v>
      </c>
      <c r="J2" s="6">
        <f>I2/64</f>
        <v>3.265625</v>
      </c>
      <c r="K2" s="6">
        <f t="shared" ref="K2:K14" si="1">C2-I2</f>
        <v>11</v>
      </c>
    </row>
    <row r="3" spans="1:11">
      <c r="A3" t="s">
        <v>11</v>
      </c>
      <c r="B3" s="4" t="s">
        <v>13</v>
      </c>
      <c r="C3" s="5">
        <v>4</v>
      </c>
      <c r="D3" s="6">
        <f t="shared" ref="D3:D14" si="2">C3/64</f>
        <v>0.0625</v>
      </c>
      <c r="E3" s="7">
        <f t="shared" si="0"/>
        <v>4096</v>
      </c>
      <c r="F3" s="6">
        <f>SUM(E2:F2)</f>
        <v>225280</v>
      </c>
      <c r="G3" s="6" t="str">
        <f t="shared" ref="G3:G14" si="3">DEC2HEX(F3)</f>
        <v>37000</v>
      </c>
      <c r="H3" s="6" t="str">
        <f t="shared" ref="H3:H14" si="4">DEC2HEX(E3)</f>
        <v>1000</v>
      </c>
      <c r="I3" s="5">
        <v>4</v>
      </c>
      <c r="J3" s="6">
        <f t="shared" ref="J3:J14" si="5">I3/64</f>
        <v>0.0625</v>
      </c>
      <c r="K3" s="6">
        <f t="shared" si="1"/>
        <v>0</v>
      </c>
    </row>
    <row r="4" spans="1:11">
      <c r="A4" t="s">
        <v>11</v>
      </c>
      <c r="B4" s="4" t="s">
        <v>14</v>
      </c>
      <c r="C4" s="5">
        <v>4</v>
      </c>
      <c r="D4" s="6">
        <f t="shared" si="2"/>
        <v>0.0625</v>
      </c>
      <c r="E4" s="7">
        <f t="shared" si="0"/>
        <v>4096</v>
      </c>
      <c r="F4" s="6">
        <f t="shared" ref="F4:F14" si="6">SUM(E3:F3)</f>
        <v>229376</v>
      </c>
      <c r="G4" s="6" t="str">
        <f t="shared" si="3"/>
        <v>38000</v>
      </c>
      <c r="H4" s="6" t="str">
        <f t="shared" si="4"/>
        <v>1000</v>
      </c>
      <c r="I4" s="5">
        <v>4</v>
      </c>
      <c r="J4" s="6">
        <f t="shared" si="5"/>
        <v>0.0625</v>
      </c>
      <c r="K4" s="6">
        <f t="shared" si="1"/>
        <v>0</v>
      </c>
    </row>
    <row r="5" spans="1:11">
      <c r="A5" t="s">
        <v>11</v>
      </c>
      <c r="B5" s="4" t="s">
        <v>15</v>
      </c>
      <c r="C5" s="5">
        <v>64</v>
      </c>
      <c r="D5" s="6">
        <f t="shared" si="2"/>
        <v>1</v>
      </c>
      <c r="E5" s="7">
        <f t="shared" si="0"/>
        <v>65536</v>
      </c>
      <c r="F5" s="6">
        <f t="shared" si="6"/>
        <v>233472</v>
      </c>
      <c r="G5" s="6" t="str">
        <f t="shared" si="3"/>
        <v>39000</v>
      </c>
      <c r="H5" s="6" t="str">
        <f t="shared" si="4"/>
        <v>10000</v>
      </c>
      <c r="I5" s="5">
        <v>58</v>
      </c>
      <c r="J5" s="6">
        <f t="shared" si="5"/>
        <v>0.90625</v>
      </c>
      <c r="K5" s="6">
        <f t="shared" si="1"/>
        <v>6</v>
      </c>
    </row>
    <row r="6" spans="1:11">
      <c r="A6" t="s">
        <v>11</v>
      </c>
      <c r="B6" s="4" t="s">
        <v>16</v>
      </c>
      <c r="C6" s="5">
        <v>1648</v>
      </c>
      <c r="D6" s="6">
        <f t="shared" si="2"/>
        <v>25.75</v>
      </c>
      <c r="E6" s="7">
        <f>C6*1024</f>
        <v>1687552</v>
      </c>
      <c r="F6" s="6">
        <f t="shared" si="6"/>
        <v>299008</v>
      </c>
      <c r="G6" s="6" t="str">
        <f t="shared" si="3"/>
        <v>49000</v>
      </c>
      <c r="H6" s="6" t="str">
        <f t="shared" si="4"/>
        <v>19C000</v>
      </c>
      <c r="I6" s="5">
        <v>1609</v>
      </c>
      <c r="J6" s="6">
        <f t="shared" si="5"/>
        <v>25.140625</v>
      </c>
      <c r="K6" s="6">
        <f t="shared" si="1"/>
        <v>39</v>
      </c>
    </row>
    <row r="7" spans="1:11">
      <c r="A7" t="s">
        <v>17</v>
      </c>
      <c r="B7" s="4" t="s">
        <v>18</v>
      </c>
      <c r="C7" s="5">
        <v>128</v>
      </c>
      <c r="D7" s="6">
        <f t="shared" si="2"/>
        <v>2</v>
      </c>
      <c r="E7" s="7">
        <f t="shared" si="0"/>
        <v>131072</v>
      </c>
      <c r="F7" s="6">
        <f t="shared" si="6"/>
        <v>1986560</v>
      </c>
      <c r="G7" s="6" t="str">
        <f t="shared" si="3"/>
        <v>1E5000</v>
      </c>
      <c r="H7" s="6" t="str">
        <f>DEC2HEX(E7)</f>
        <v>20000</v>
      </c>
      <c r="I7" s="5">
        <v>82</v>
      </c>
      <c r="J7" s="6">
        <f t="shared" si="5"/>
        <v>1.28125</v>
      </c>
      <c r="K7" s="6">
        <f t="shared" si="1"/>
        <v>46</v>
      </c>
    </row>
    <row r="8" spans="1:11">
      <c r="A8" t="s">
        <v>11</v>
      </c>
      <c r="B8" s="4" t="s">
        <v>19</v>
      </c>
      <c r="C8" s="5">
        <v>2476</v>
      </c>
      <c r="D8" s="6">
        <f>C8/64</f>
        <v>38.6875</v>
      </c>
      <c r="E8" s="7">
        <f t="shared" si="0"/>
        <v>2535424</v>
      </c>
      <c r="F8" s="6">
        <f t="shared" si="6"/>
        <v>2117632</v>
      </c>
      <c r="G8" s="6" t="str">
        <f t="shared" si="3"/>
        <v>205000</v>
      </c>
      <c r="H8" s="6" t="str">
        <f t="shared" si="4"/>
        <v>26B000</v>
      </c>
      <c r="I8" s="5">
        <v>2428</v>
      </c>
      <c r="J8" s="6">
        <f t="shared" si="5"/>
        <v>37.9375</v>
      </c>
      <c r="K8" s="6">
        <f t="shared" si="1"/>
        <v>48</v>
      </c>
    </row>
    <row r="9" spans="1:11">
      <c r="A9" t="s">
        <v>11</v>
      </c>
      <c r="B9" s="4" t="s">
        <v>20</v>
      </c>
      <c r="C9" s="5">
        <v>128</v>
      </c>
      <c r="D9" s="6">
        <f>C9/64</f>
        <v>2</v>
      </c>
      <c r="E9" s="7">
        <f t="shared" si="0"/>
        <v>131072</v>
      </c>
      <c r="F9" s="6">
        <f t="shared" si="6"/>
        <v>4653056</v>
      </c>
      <c r="G9" s="6" t="str">
        <f t="shared" si="3"/>
        <v>470000</v>
      </c>
      <c r="H9" s="6" t="str">
        <f t="shared" si="4"/>
        <v>20000</v>
      </c>
      <c r="I9" s="5">
        <v>5</v>
      </c>
      <c r="J9" s="6">
        <f t="shared" si="5"/>
        <v>0.078125</v>
      </c>
      <c r="K9" s="6">
        <f t="shared" si="1"/>
        <v>123</v>
      </c>
    </row>
    <row r="10" spans="1:11">
      <c r="A10" t="s">
        <v>11</v>
      </c>
      <c r="B10" s="4" t="s">
        <v>21</v>
      </c>
      <c r="C10" s="5">
        <v>2880</v>
      </c>
      <c r="D10" s="6">
        <f>C10/64</f>
        <v>45</v>
      </c>
      <c r="E10" s="7">
        <f t="shared" ref="E10" si="7">C10*1024</f>
        <v>2949120</v>
      </c>
      <c r="F10" s="6">
        <f t="shared" si="6"/>
        <v>4784128</v>
      </c>
      <c r="G10" s="6" t="str">
        <f t="shared" si="3"/>
        <v>490000</v>
      </c>
      <c r="H10" s="6" t="str">
        <f>DEC2HEX(E10)</f>
        <v>2D0000</v>
      </c>
      <c r="I10" s="5">
        <v>2852</v>
      </c>
      <c r="J10" s="6">
        <f t="shared" ref="J10" si="8">I10/64</f>
        <v>44.5625</v>
      </c>
      <c r="K10" s="6">
        <f t="shared" si="1"/>
        <v>28</v>
      </c>
    </row>
    <row r="11" spans="1:11">
      <c r="A11" t="s">
        <v>22</v>
      </c>
      <c r="B11" s="4" t="s">
        <v>23</v>
      </c>
      <c r="C11" s="5">
        <v>2432</v>
      </c>
      <c r="D11" s="6">
        <f>C11/64</f>
        <v>38</v>
      </c>
      <c r="E11" s="7">
        <f t="shared" si="0"/>
        <v>2490368</v>
      </c>
      <c r="F11" s="6">
        <f t="shared" si="6"/>
        <v>7733248</v>
      </c>
      <c r="G11" s="6" t="str">
        <f t="shared" si="3"/>
        <v>760000</v>
      </c>
      <c r="H11" s="6" t="str">
        <f>DEC2HEX(E11)</f>
        <v>260000</v>
      </c>
      <c r="I11" s="5">
        <v>1948</v>
      </c>
      <c r="J11" s="6">
        <f t="shared" si="5"/>
        <v>30.4375</v>
      </c>
      <c r="K11" s="6">
        <f t="shared" si="1"/>
        <v>484</v>
      </c>
    </row>
    <row r="12" spans="1:11">
      <c r="A12" t="s">
        <v>24</v>
      </c>
      <c r="B12" s="4" t="s">
        <v>25</v>
      </c>
      <c r="C12" s="5">
        <v>128</v>
      </c>
      <c r="D12" s="6">
        <f t="shared" si="2"/>
        <v>2</v>
      </c>
      <c r="E12" s="7">
        <f t="shared" si="0"/>
        <v>131072</v>
      </c>
      <c r="F12" s="6">
        <f t="shared" si="6"/>
        <v>10223616</v>
      </c>
      <c r="G12" s="6" t="str">
        <f t="shared" si="3"/>
        <v>9C0000</v>
      </c>
      <c r="H12" s="6" t="str">
        <f t="shared" si="4"/>
        <v>20000</v>
      </c>
      <c r="I12" s="5">
        <v>0</v>
      </c>
      <c r="J12" s="6">
        <f t="shared" si="5"/>
        <v>0</v>
      </c>
      <c r="K12" s="6">
        <f t="shared" si="1"/>
        <v>128</v>
      </c>
    </row>
    <row r="13" spans="1:11">
      <c r="A13" t="s">
        <v>26</v>
      </c>
      <c r="B13" s="4" t="s">
        <v>27</v>
      </c>
      <c r="C13" s="5">
        <v>6272</v>
      </c>
      <c r="D13" s="6">
        <f t="shared" si="2"/>
        <v>98</v>
      </c>
      <c r="E13" s="7">
        <f t="shared" si="0"/>
        <v>6422528</v>
      </c>
      <c r="F13" s="6">
        <f t="shared" si="6"/>
        <v>10354688</v>
      </c>
      <c r="G13" s="6" t="str">
        <f t="shared" si="3"/>
        <v>9E0000</v>
      </c>
      <c r="H13" s="6" t="str">
        <f t="shared" si="4"/>
        <v>620000</v>
      </c>
      <c r="I13" s="5">
        <v>41</v>
      </c>
      <c r="J13" s="6">
        <f t="shared" si="5"/>
        <v>0.640625</v>
      </c>
      <c r="K13" s="6">
        <f t="shared" si="1"/>
        <v>6231</v>
      </c>
    </row>
    <row r="14" spans="1:11">
      <c r="A14"/>
      <c r="B14" s="4" t="s">
        <v>28</v>
      </c>
      <c r="C14" s="8">
        <f>SUM(C2:C13)</f>
        <v>16384</v>
      </c>
      <c r="D14" s="6">
        <f t="shared" si="2"/>
        <v>256</v>
      </c>
      <c r="E14" s="9">
        <f t="shared" si="0"/>
        <v>16777216</v>
      </c>
      <c r="F14" s="6">
        <f t="shared" si="6"/>
        <v>16777216</v>
      </c>
      <c r="G14" s="6" t="str">
        <f t="shared" si="3"/>
        <v>1000000</v>
      </c>
      <c r="H14" s="8" t="str">
        <f t="shared" si="4"/>
        <v>1000000</v>
      </c>
      <c r="I14" s="13">
        <f>SUM(I2:I13)</f>
        <v>9240</v>
      </c>
      <c r="J14" s="8">
        <f t="shared" si="5"/>
        <v>144.375</v>
      </c>
      <c r="K14" s="6">
        <f t="shared" si="1"/>
        <v>7144</v>
      </c>
    </row>
    <row r="15" spans="1:9">
      <c r="A15"/>
      <c r="B15" s="10"/>
      <c r="C15" s="11">
        <f>C14/1024</f>
        <v>16</v>
      </c>
      <c r="D15" s="10"/>
      <c r="E15" s="10"/>
      <c r="F15" s="10"/>
      <c r="G15" s="10"/>
      <c r="H15" s="10">
        <v>1000000</v>
      </c>
      <c r="I15" s="14">
        <f>I14/1024</f>
        <v>9.0234375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liu</dc:creator>
  <cp:lastModifiedBy>admin</cp:lastModifiedBy>
  <dcterms:created xsi:type="dcterms:W3CDTF">2015-06-05T18:19:00Z</dcterms:created>
  <dcterms:modified xsi:type="dcterms:W3CDTF">2023-05-08T09:41:04Z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BA2C957816C149C8BA7F3B90C5BBE9A2_13</vt:lpwstr>
  </property>
  <property fmtid="{D5CDD505-2E9C-101B-9397-08002B2CF9AE}" pid="3" name="KSOProductBuildVer">
    <vt:lpwstr>2052-11.1.0.14309</vt:lpwstr>
  </property>
</Properties>
</file>